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SV FILES\"/>
    </mc:Choice>
  </mc:AlternateContent>
  <xr:revisionPtr revIDLastSave="0" documentId="8_{EB1E1615-1530-4F24-9C0A-477146A92BE6}" xr6:coauthVersionLast="47" xr6:coauthVersionMax="47" xr10:uidLastSave="{00000000-0000-0000-0000-000000000000}"/>
  <bookViews>
    <workbookView xWindow="-120" yWindow="-120" windowWidth="29040" windowHeight="16440" xr2:uid="{A2304550-5831-4E1D-8CD9-6B7C6B078E01}"/>
  </bookViews>
  <sheets>
    <sheet name="Loan Amortization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11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B9" i="1"/>
  <c r="E9" i="1" s="1"/>
  <c r="B5" i="1"/>
  <c r="C9" i="1" s="1"/>
  <c r="A10" i="1"/>
  <c r="E11" i="1" l="1"/>
  <c r="D11" i="1" s="1"/>
  <c r="F11" i="1" s="1"/>
  <c r="B12" i="1" s="1"/>
  <c r="C10" i="1"/>
  <c r="D9" i="1"/>
  <c r="F9" i="1" s="1"/>
  <c r="B10" i="1" s="1"/>
  <c r="E12" i="1" l="1"/>
  <c r="D12" i="1" s="1"/>
  <c r="F12" i="1" s="1"/>
  <c r="B13" i="1" s="1"/>
  <c r="E10" i="1"/>
  <c r="D10" i="1" s="1"/>
  <c r="F10" i="1" s="1"/>
  <c r="E13" i="1" l="1"/>
  <c r="D13" i="1" s="1"/>
  <c r="F13" i="1" s="1"/>
  <c r="B14" i="1" s="1"/>
  <c r="E14" i="1" l="1"/>
  <c r="D14" i="1" s="1"/>
  <c r="F14" i="1" s="1"/>
  <c r="B15" i="1" s="1"/>
  <c r="E15" i="1" l="1"/>
  <c r="D15" i="1" s="1"/>
  <c r="F15" i="1" s="1"/>
  <c r="B16" i="1" s="1"/>
  <c r="E16" i="1" l="1"/>
  <c r="D16" i="1" s="1"/>
  <c r="F16" i="1"/>
  <c r="B17" i="1" s="1"/>
  <c r="E17" i="1" l="1"/>
  <c r="D17" i="1" s="1"/>
  <c r="F17" i="1"/>
  <c r="B18" i="1" s="1"/>
  <c r="E18" i="1" l="1"/>
  <c r="D18" i="1" s="1"/>
  <c r="F18" i="1" s="1"/>
  <c r="B19" i="1" s="1"/>
  <c r="E19" i="1" l="1"/>
  <c r="D19" i="1" s="1"/>
  <c r="F19" i="1"/>
  <c r="B20" i="1" s="1"/>
  <c r="E20" i="1" l="1"/>
  <c r="D20" i="1" s="1"/>
  <c r="F20" i="1" s="1"/>
  <c r="B21" i="1" s="1"/>
  <c r="F21" i="1" l="1"/>
  <c r="B22" i="1" s="1"/>
  <c r="E21" i="1"/>
  <c r="D21" i="1" s="1"/>
  <c r="E22" i="1" l="1"/>
  <c r="D22" i="1" s="1"/>
  <c r="F22" i="1" s="1"/>
  <c r="B23" i="1" s="1"/>
  <c r="E23" i="1" l="1"/>
  <c r="D23" i="1" s="1"/>
  <c r="F23" i="1"/>
  <c r="B24" i="1" s="1"/>
  <c r="E24" i="1" l="1"/>
  <c r="D24" i="1" s="1"/>
  <c r="F24" i="1"/>
  <c r="B25" i="1" s="1"/>
  <c r="E25" i="1" l="1"/>
  <c r="D25" i="1" s="1"/>
  <c r="F25" i="1" s="1"/>
  <c r="B26" i="1" s="1"/>
  <c r="F26" i="1" l="1"/>
  <c r="B27" i="1" s="1"/>
  <c r="E26" i="1"/>
  <c r="D26" i="1" s="1"/>
  <c r="E27" i="1" l="1"/>
  <c r="D27" i="1" s="1"/>
  <c r="F27" i="1" s="1"/>
  <c r="B28" i="1" s="1"/>
  <c r="E28" i="1" l="1"/>
  <c r="D28" i="1" s="1"/>
  <c r="F28" i="1" s="1"/>
  <c r="B29" i="1" s="1"/>
  <c r="E29" i="1" l="1"/>
  <c r="D29" i="1" s="1"/>
  <c r="F29" i="1" s="1"/>
  <c r="B30" i="1" s="1"/>
  <c r="E30" i="1" l="1"/>
  <c r="D30" i="1" s="1"/>
  <c r="F30" i="1" s="1"/>
  <c r="B31" i="1" s="1"/>
  <c r="E31" i="1" l="1"/>
  <c r="D31" i="1" s="1"/>
  <c r="F31" i="1" s="1"/>
  <c r="B32" i="1" s="1"/>
  <c r="E32" i="1" l="1"/>
  <c r="D32" i="1" s="1"/>
  <c r="F32" i="1"/>
  <c r="B33" i="1" s="1"/>
  <c r="E33" i="1" l="1"/>
  <c r="D33" i="1" s="1"/>
  <c r="F33" i="1"/>
  <c r="B34" i="1" s="1"/>
  <c r="E34" i="1" l="1"/>
  <c r="D34" i="1" s="1"/>
  <c r="F34" i="1" s="1"/>
  <c r="B35" i="1" s="1"/>
  <c r="E35" i="1" l="1"/>
  <c r="D35" i="1" s="1"/>
  <c r="F35" i="1" s="1"/>
  <c r="B36" i="1" s="1"/>
  <c r="E36" i="1" l="1"/>
  <c r="D36" i="1" s="1"/>
  <c r="F36" i="1" s="1"/>
  <c r="B37" i="1" s="1"/>
  <c r="E37" i="1" l="1"/>
  <c r="D37" i="1" s="1"/>
  <c r="F37" i="1"/>
  <c r="B38" i="1" s="1"/>
  <c r="E38" i="1" l="1"/>
  <c r="D38" i="1" s="1"/>
  <c r="F38" i="1" s="1"/>
  <c r="B39" i="1" s="1"/>
  <c r="E39" i="1" l="1"/>
  <c r="D39" i="1" s="1"/>
  <c r="F39" i="1"/>
  <c r="B40" i="1" s="1"/>
  <c r="E40" i="1" l="1"/>
  <c r="D40" i="1" s="1"/>
  <c r="F40" i="1"/>
  <c r="B41" i="1" s="1"/>
  <c r="E41" i="1" l="1"/>
  <c r="D41" i="1" s="1"/>
  <c r="F41" i="1"/>
  <c r="B42" i="1" s="1"/>
  <c r="E42" i="1" l="1"/>
  <c r="D42" i="1" s="1"/>
  <c r="F42" i="1" s="1"/>
  <c r="B43" i="1" s="1"/>
  <c r="E43" i="1" l="1"/>
  <c r="D43" i="1" s="1"/>
  <c r="F43" i="1"/>
  <c r="B44" i="1" s="1"/>
  <c r="E44" i="1" l="1"/>
  <c r="D44" i="1" s="1"/>
  <c r="F44" i="1" s="1"/>
  <c r="B45" i="1" s="1"/>
  <c r="E45" i="1" l="1"/>
  <c r="D45" i="1" s="1"/>
  <c r="F45" i="1" s="1"/>
  <c r="B46" i="1" s="1"/>
  <c r="E46" i="1" l="1"/>
  <c r="D46" i="1" s="1"/>
  <c r="F46" i="1" s="1"/>
  <c r="B47" i="1" s="1"/>
  <c r="E47" i="1" l="1"/>
  <c r="D47" i="1" s="1"/>
  <c r="F47" i="1" s="1"/>
  <c r="B48" i="1" s="1"/>
  <c r="E48" i="1" l="1"/>
  <c r="D48" i="1" s="1"/>
  <c r="F48" i="1" s="1"/>
  <c r="B49" i="1" s="1"/>
  <c r="E49" i="1" l="1"/>
  <c r="D49" i="1" s="1"/>
  <c r="F49" i="1" s="1"/>
  <c r="B50" i="1" s="1"/>
  <c r="E50" i="1" l="1"/>
  <c r="D50" i="1" s="1"/>
  <c r="F50" i="1" s="1"/>
  <c r="B51" i="1" s="1"/>
  <c r="E51" i="1" l="1"/>
  <c r="D51" i="1" s="1"/>
  <c r="F51" i="1"/>
  <c r="B52" i="1" s="1"/>
  <c r="E52" i="1" l="1"/>
  <c r="D52" i="1" s="1"/>
  <c r="F52" i="1" s="1"/>
  <c r="B53" i="1" s="1"/>
  <c r="E53" i="1" l="1"/>
  <c r="D53" i="1" s="1"/>
  <c r="F53" i="1" s="1"/>
  <c r="B54" i="1" s="1"/>
  <c r="E54" i="1" l="1"/>
  <c r="D54" i="1" s="1"/>
  <c r="F54" i="1" s="1"/>
  <c r="B55" i="1" s="1"/>
  <c r="E55" i="1" l="1"/>
  <c r="D55" i="1" s="1"/>
  <c r="F55" i="1" s="1"/>
  <c r="B56" i="1" s="1"/>
  <c r="E56" i="1" l="1"/>
  <c r="D56" i="1" s="1"/>
  <c r="F56" i="1"/>
  <c r="B57" i="1" s="1"/>
  <c r="E57" i="1" l="1"/>
  <c r="D57" i="1" s="1"/>
  <c r="F57" i="1"/>
  <c r="B58" i="1" s="1"/>
  <c r="E58" i="1" l="1"/>
  <c r="D58" i="1" s="1"/>
  <c r="F58" i="1" s="1"/>
  <c r="B59" i="1" s="1"/>
  <c r="E59" i="1" l="1"/>
  <c r="D59" i="1" s="1"/>
  <c r="F59" i="1" s="1"/>
  <c r="B60" i="1" s="1"/>
  <c r="E60" i="1" l="1"/>
  <c r="D60" i="1" s="1"/>
  <c r="F60" i="1" s="1"/>
  <c r="B61" i="1" s="1"/>
  <c r="E61" i="1" l="1"/>
  <c r="D61" i="1" s="1"/>
  <c r="F61" i="1" s="1"/>
  <c r="B62" i="1" s="1"/>
  <c r="E62" i="1" l="1"/>
  <c r="D62" i="1" s="1"/>
  <c r="F62" i="1" s="1"/>
  <c r="B63" i="1" s="1"/>
  <c r="E63" i="1" l="1"/>
  <c r="D63" i="1" s="1"/>
  <c r="F63" i="1"/>
  <c r="B64" i="1" s="1"/>
  <c r="E64" i="1" l="1"/>
  <c r="D64" i="1" s="1"/>
  <c r="F64" i="1"/>
  <c r="B65" i="1" s="1"/>
  <c r="E65" i="1" l="1"/>
  <c r="D65" i="1" s="1"/>
  <c r="F65" i="1"/>
  <c r="B66" i="1" s="1"/>
  <c r="E66" i="1" l="1"/>
  <c r="D66" i="1" s="1"/>
  <c r="F66" i="1"/>
  <c r="B67" i="1" s="1"/>
  <c r="E67" i="1" l="1"/>
  <c r="D67" i="1" s="1"/>
  <c r="F67" i="1" s="1"/>
  <c r="B68" i="1" s="1"/>
  <c r="E68" i="1" l="1"/>
  <c r="D68" i="1" s="1"/>
  <c r="F68" i="1" s="1"/>
</calcChain>
</file>

<file path=xl/sharedStrings.xml><?xml version="1.0" encoding="utf-8"?>
<sst xmlns="http://schemas.openxmlformats.org/spreadsheetml/2006/main" count="13" uniqueCount="13">
  <si>
    <t>Loan Amortization Calculator</t>
  </si>
  <si>
    <t>Loan Amount</t>
  </si>
  <si>
    <t>Annual Interest Rate</t>
  </si>
  <si>
    <t>Loan Term (Years)</t>
  </si>
  <si>
    <t>Monthly Payment</t>
  </si>
  <si>
    <t>Month</t>
  </si>
  <si>
    <t>Opening Balance</t>
  </si>
  <si>
    <t>Payment</t>
  </si>
  <si>
    <t>Principal</t>
  </si>
  <si>
    <t>Interest</t>
  </si>
  <si>
    <t>Closing Balance</t>
  </si>
  <si>
    <t>Total Interest Paid:</t>
  </si>
  <si>
    <t>Total Amount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</si>
</sst>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6185186315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8" fontId="0" fillId="0" borderId="8" xfId="0" applyNumberFormat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8" fontId="0" fillId="6" borderId="8" xfId="0" applyNumberFormat="1" applyFill="1" applyBorder="1" applyAlignment="1">
      <alignment horizontal="center"/>
    </xf>
    <xf numFmtId="0" fontId="0" fillId="0" borderId="0" xfId="0" applyAlignment="1"/>
    <xf numFmtId="0" fontId="1" fillId="2" borderId="8" xfId="1" applyFont="1" applyBorder="1" applyAlignment="1">
      <alignment horizontal="center"/>
    </xf>
    <xf numFmtId="44" fontId="6" fillId="2" borderId="8" xfId="1" applyNumberFormat="1" applyFont="1" applyBorder="1" applyAlignment="1"/>
    <xf numFmtId="8" fontId="6" fillId="2" borderId="8" xfId="1" applyNumberFormat="1" applyFont="1" applyBorder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D4BB-A4CF-4DD3-90CF-8C24F8A97F08}">
  <dimension ref="A1:I68"/>
  <sheetViews>
    <sheetView tabSelected="1" zoomScaleNormal="100" workbookViewId="0">
      <selection activeCell="E5" sqref="E5"/>
    </sheetView>
  </sheetViews>
  <sheetFormatPr defaultRowHeight="15" x14ac:dyDescent="0.25"/>
  <cols>
    <col min="1" max="1" width="38.42578125" bestFit="1" customWidth="1"/>
    <col min="2" max="2" width="16.140625" bestFit="1" customWidth="1"/>
    <col min="3" max="3" width="8.5703125" bestFit="1" customWidth="1"/>
    <col min="4" max="4" width="9" bestFit="1" customWidth="1"/>
    <col min="5" max="5" width="7.5703125" bestFit="1" customWidth="1"/>
    <col min="6" max="6" width="15.28515625" bestFit="1" customWidth="1"/>
    <col min="8" max="8" width="18" bestFit="1" customWidth="1"/>
    <col min="9" max="9" width="10.85546875" bestFit="1" customWidth="1"/>
  </cols>
  <sheetData>
    <row r="1" spans="1:9" ht="21.75" thickBot="1" x14ac:dyDescent="0.4">
      <c r="A1" s="4" t="s">
        <v>0</v>
      </c>
      <c r="B1" s="9"/>
      <c r="C1" s="5"/>
      <c r="D1" s="5"/>
      <c r="E1" s="5"/>
      <c r="F1" s="6"/>
      <c r="G1" s="1"/>
      <c r="H1" s="1"/>
      <c r="I1" s="1"/>
    </row>
    <row r="2" spans="1:9" ht="15.75" thickBot="1" x14ac:dyDescent="0.3">
      <c r="A2" s="7" t="s">
        <v>1</v>
      </c>
      <c r="B2" s="10">
        <v>20000</v>
      </c>
      <c r="C2" s="1"/>
      <c r="D2" s="1"/>
      <c r="E2" s="1"/>
      <c r="F2" s="1"/>
      <c r="G2" s="1"/>
      <c r="H2" s="18" t="s">
        <v>11</v>
      </c>
      <c r="I2" s="19">
        <f>SUM(E9:E68)</f>
        <v>2645.4803728131196</v>
      </c>
    </row>
    <row r="3" spans="1:9" ht="15.75" thickBot="1" x14ac:dyDescent="0.3">
      <c r="A3" s="8" t="s">
        <v>2</v>
      </c>
      <c r="B3" s="10">
        <v>0.05</v>
      </c>
      <c r="C3" s="1"/>
      <c r="D3" s="1"/>
      <c r="E3" s="1"/>
      <c r="F3" s="1"/>
      <c r="G3" s="1"/>
      <c r="H3" s="18" t="s">
        <v>12</v>
      </c>
      <c r="I3" s="20">
        <f>SUM(C9:C68)</f>
        <v>22645.480372813108</v>
      </c>
    </row>
    <row r="4" spans="1:9" ht="15.75" thickBot="1" x14ac:dyDescent="0.3">
      <c r="A4" s="8" t="s">
        <v>3</v>
      </c>
      <c r="B4" s="10">
        <v>5</v>
      </c>
      <c r="C4" s="1"/>
      <c r="D4" s="1"/>
      <c r="E4" s="1"/>
      <c r="F4" s="1"/>
      <c r="G4" s="1"/>
      <c r="H4" s="1"/>
      <c r="I4" s="17"/>
    </row>
    <row r="5" spans="1:9" ht="15.75" thickBot="1" x14ac:dyDescent="0.3">
      <c r="A5" s="8" t="s">
        <v>4</v>
      </c>
      <c r="B5" s="11">
        <f>PMT(B3/12,B4*12,-B2)</f>
        <v>377.42467288021874</v>
      </c>
      <c r="C5" s="1"/>
      <c r="D5" s="1"/>
      <c r="E5" s="1"/>
      <c r="F5" s="1"/>
      <c r="G5" s="1"/>
      <c r="H5" s="1"/>
      <c r="I5" s="1"/>
    </row>
    <row r="6" spans="1:9" x14ac:dyDescent="0.25">
      <c r="A6" s="3"/>
      <c r="B6" s="2"/>
      <c r="C6" s="1"/>
      <c r="D6" s="1"/>
      <c r="E6" s="1"/>
      <c r="F6" s="1"/>
      <c r="G6" s="1"/>
      <c r="H6" s="1"/>
      <c r="I6" s="1"/>
    </row>
    <row r="7" spans="1:9" ht="15.75" thickBo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2" t="s">
        <v>5</v>
      </c>
      <c r="B8" s="13" t="s">
        <v>6</v>
      </c>
      <c r="C8" s="13" t="s">
        <v>7</v>
      </c>
      <c r="D8" s="13" t="s">
        <v>8</v>
      </c>
      <c r="E8" s="13" t="s">
        <v>9</v>
      </c>
      <c r="F8" s="14" t="s">
        <v>10</v>
      </c>
      <c r="G8" s="1"/>
      <c r="H8" s="1"/>
      <c r="I8" s="1"/>
    </row>
    <row r="9" spans="1:9" x14ac:dyDescent="0.25">
      <c r="A9" s="15">
        <v>1</v>
      </c>
      <c r="B9" s="15">
        <f>B2</f>
        <v>20000</v>
      </c>
      <c r="C9" s="16">
        <f>$B$5</f>
        <v>377.42467288021874</v>
      </c>
      <c r="D9" s="16">
        <f>C9-E9</f>
        <v>294.09133954688542</v>
      </c>
      <c r="E9" s="15">
        <f>B9*($B$3/12)</f>
        <v>83.333333333333329</v>
      </c>
      <c r="F9" s="16">
        <f>B9-D9</f>
        <v>19705.908660453115</v>
      </c>
      <c r="G9" s="1"/>
      <c r="H9" s="1"/>
      <c r="I9" s="1"/>
    </row>
    <row r="10" spans="1:9" x14ac:dyDescent="0.25">
      <c r="A10" s="15">
        <f>A9+1</f>
        <v>2</v>
      </c>
      <c r="B10" s="16">
        <f>F9</f>
        <v>19705.908660453115</v>
      </c>
      <c r="C10" s="16">
        <f>$B$5</f>
        <v>377.42467288021874</v>
      </c>
      <c r="D10" s="16">
        <f>C10-E10</f>
        <v>295.31672012833076</v>
      </c>
      <c r="E10" s="16">
        <f>B10*($B$3/12)</f>
        <v>82.107952751887979</v>
      </c>
      <c r="F10" s="16">
        <f>B10-D10</f>
        <v>19410.591940324783</v>
      </c>
      <c r="G10" s="1"/>
      <c r="H10" s="1"/>
      <c r="I10" s="1"/>
    </row>
    <row r="11" spans="1:9" x14ac:dyDescent="0.25">
      <c r="A11" s="15">
        <f t="shared" ref="A11:A68" si="0">A10+1</f>
        <v>3</v>
      </c>
      <c r="B11" s="16">
        <f t="shared" ref="B11:B68" si="1">F10</f>
        <v>19410.591940324783</v>
      </c>
      <c r="C11" s="16">
        <f t="shared" ref="C11:C68" si="2">$B$5</f>
        <v>377.42467288021874</v>
      </c>
      <c r="D11" s="16">
        <f t="shared" ref="D11:D68" si="3">C11-E11</f>
        <v>296.5472064621988</v>
      </c>
      <c r="E11" s="16">
        <f t="shared" ref="E11:E68" si="4">B11*($B$3/12)</f>
        <v>80.877466418019921</v>
      </c>
      <c r="F11" s="16">
        <f t="shared" ref="F11:F68" si="5">B11-D11</f>
        <v>19114.044733862585</v>
      </c>
    </row>
    <row r="12" spans="1:9" x14ac:dyDescent="0.25">
      <c r="A12" s="15">
        <f t="shared" si="0"/>
        <v>4</v>
      </c>
      <c r="B12" s="16">
        <f t="shared" si="1"/>
        <v>19114.044733862585</v>
      </c>
      <c r="C12" s="16">
        <f t="shared" si="2"/>
        <v>377.42467288021874</v>
      </c>
      <c r="D12" s="16">
        <f t="shared" si="3"/>
        <v>297.78281982245795</v>
      </c>
      <c r="E12" s="16">
        <f t="shared" si="4"/>
        <v>79.64185305776077</v>
      </c>
      <c r="F12" s="16">
        <f t="shared" si="5"/>
        <v>18816.261914040126</v>
      </c>
    </row>
    <row r="13" spans="1:9" x14ac:dyDescent="0.25">
      <c r="A13" s="15">
        <f t="shared" si="0"/>
        <v>5</v>
      </c>
      <c r="B13" s="16">
        <f t="shared" si="1"/>
        <v>18816.261914040126</v>
      </c>
      <c r="C13" s="16">
        <f t="shared" si="2"/>
        <v>377.42467288021874</v>
      </c>
      <c r="D13" s="16">
        <f t="shared" si="3"/>
        <v>299.02358157171818</v>
      </c>
      <c r="E13" s="16">
        <f t="shared" si="4"/>
        <v>78.401091308500526</v>
      </c>
      <c r="F13" s="16">
        <f t="shared" si="5"/>
        <v>18517.238332468409</v>
      </c>
    </row>
    <row r="14" spans="1:9" x14ac:dyDescent="0.25">
      <c r="A14" s="15">
        <f t="shared" si="0"/>
        <v>6</v>
      </c>
      <c r="B14" s="16">
        <f t="shared" si="1"/>
        <v>18517.238332468409</v>
      </c>
      <c r="C14" s="16">
        <f t="shared" si="2"/>
        <v>377.42467288021874</v>
      </c>
      <c r="D14" s="16">
        <f t="shared" si="3"/>
        <v>300.26951316160034</v>
      </c>
      <c r="E14" s="16">
        <f t="shared" si="4"/>
        <v>77.155159718618364</v>
      </c>
      <c r="F14" s="16">
        <f t="shared" si="5"/>
        <v>18216.968819306807</v>
      </c>
    </row>
    <row r="15" spans="1:9" x14ac:dyDescent="0.25">
      <c r="A15" s="15">
        <f t="shared" si="0"/>
        <v>7</v>
      </c>
      <c r="B15" s="16">
        <f t="shared" si="1"/>
        <v>18216.968819306807</v>
      </c>
      <c r="C15" s="16">
        <f t="shared" si="2"/>
        <v>377.42467288021874</v>
      </c>
      <c r="D15" s="16">
        <f t="shared" si="3"/>
        <v>301.52063613310702</v>
      </c>
      <c r="E15" s="16">
        <f t="shared" si="4"/>
        <v>75.904036747111689</v>
      </c>
      <c r="F15" s="16">
        <f t="shared" si="5"/>
        <v>17915.448183173699</v>
      </c>
    </row>
    <row r="16" spans="1:9" x14ac:dyDescent="0.25">
      <c r="A16" s="15">
        <f t="shared" si="0"/>
        <v>8</v>
      </c>
      <c r="B16" s="16">
        <f t="shared" si="1"/>
        <v>17915.448183173699</v>
      </c>
      <c r="C16" s="16">
        <f t="shared" si="2"/>
        <v>377.42467288021874</v>
      </c>
      <c r="D16" s="16">
        <f t="shared" si="3"/>
        <v>302.77697211699501</v>
      </c>
      <c r="E16" s="16">
        <f t="shared" si="4"/>
        <v>74.647700763223753</v>
      </c>
      <c r="F16" s="16">
        <f t="shared" si="5"/>
        <v>17612.671211056706</v>
      </c>
    </row>
    <row r="17" spans="1:6" x14ac:dyDescent="0.25">
      <c r="A17" s="15">
        <f t="shared" si="0"/>
        <v>9</v>
      </c>
      <c r="B17" s="16">
        <f t="shared" si="1"/>
        <v>17612.671211056706</v>
      </c>
      <c r="C17" s="16">
        <f t="shared" si="2"/>
        <v>377.42467288021874</v>
      </c>
      <c r="D17" s="16">
        <f t="shared" si="3"/>
        <v>304.0385428341491</v>
      </c>
      <c r="E17" s="16">
        <f t="shared" si="4"/>
        <v>73.38613004606961</v>
      </c>
      <c r="F17" s="16">
        <f t="shared" si="5"/>
        <v>17308.632668222555</v>
      </c>
    </row>
    <row r="18" spans="1:6" x14ac:dyDescent="0.25">
      <c r="A18" s="15">
        <f t="shared" si="0"/>
        <v>10</v>
      </c>
      <c r="B18" s="16">
        <f t="shared" si="1"/>
        <v>17308.632668222555</v>
      </c>
      <c r="C18" s="16">
        <f t="shared" si="2"/>
        <v>377.42467288021874</v>
      </c>
      <c r="D18" s="16">
        <f t="shared" si="3"/>
        <v>305.3053700959581</v>
      </c>
      <c r="E18" s="16">
        <f t="shared" si="4"/>
        <v>72.11930278426064</v>
      </c>
      <c r="F18" s="16">
        <f t="shared" si="5"/>
        <v>17003.327298126598</v>
      </c>
    </row>
    <row r="19" spans="1:6" x14ac:dyDescent="0.25">
      <c r="A19" s="15">
        <f t="shared" si="0"/>
        <v>11</v>
      </c>
      <c r="B19" s="16">
        <f t="shared" si="1"/>
        <v>17003.327298126598</v>
      </c>
      <c r="C19" s="16">
        <f t="shared" si="2"/>
        <v>377.42467288021874</v>
      </c>
      <c r="D19" s="16">
        <f t="shared" si="3"/>
        <v>306.57747580469123</v>
      </c>
      <c r="E19" s="16">
        <f t="shared" si="4"/>
        <v>70.84719707552749</v>
      </c>
      <c r="F19" s="16">
        <f t="shared" si="5"/>
        <v>16696.749822321908</v>
      </c>
    </row>
    <row r="20" spans="1:6" x14ac:dyDescent="0.25">
      <c r="A20" s="15">
        <f t="shared" si="0"/>
        <v>12</v>
      </c>
      <c r="B20" s="16">
        <f t="shared" si="1"/>
        <v>16696.749822321908</v>
      </c>
      <c r="C20" s="16">
        <f t="shared" si="2"/>
        <v>377.42467288021874</v>
      </c>
      <c r="D20" s="16">
        <f t="shared" si="3"/>
        <v>307.85488195387745</v>
      </c>
      <c r="E20" s="16">
        <f t="shared" si="4"/>
        <v>69.569790926341284</v>
      </c>
      <c r="F20" s="16">
        <f t="shared" si="5"/>
        <v>16388.894940368031</v>
      </c>
    </row>
    <row r="21" spans="1:6" x14ac:dyDescent="0.25">
      <c r="A21" s="15">
        <f t="shared" si="0"/>
        <v>13</v>
      </c>
      <c r="B21" s="16">
        <f t="shared" si="1"/>
        <v>16388.894940368031</v>
      </c>
      <c r="C21" s="16">
        <f t="shared" si="2"/>
        <v>377.42467288021874</v>
      </c>
      <c r="D21" s="16">
        <f t="shared" si="3"/>
        <v>309.13761062868525</v>
      </c>
      <c r="E21" s="16">
        <f t="shared" si="4"/>
        <v>68.287062251533456</v>
      </c>
      <c r="F21" s="16">
        <f t="shared" si="5"/>
        <v>16079.757329739346</v>
      </c>
    </row>
    <row r="22" spans="1:6" x14ac:dyDescent="0.25">
      <c r="A22" s="15">
        <f t="shared" si="0"/>
        <v>14</v>
      </c>
      <c r="B22" s="16">
        <f t="shared" si="1"/>
        <v>16079.757329739346</v>
      </c>
      <c r="C22" s="16">
        <f t="shared" si="2"/>
        <v>377.42467288021874</v>
      </c>
      <c r="D22" s="16">
        <f t="shared" si="3"/>
        <v>310.42568400630478</v>
      </c>
      <c r="E22" s="16">
        <f t="shared" si="4"/>
        <v>66.998988873913945</v>
      </c>
      <c r="F22" s="16">
        <f t="shared" si="5"/>
        <v>15769.331645733042</v>
      </c>
    </row>
    <row r="23" spans="1:6" x14ac:dyDescent="0.25">
      <c r="A23" s="15">
        <f t="shared" si="0"/>
        <v>15</v>
      </c>
      <c r="B23" s="16">
        <f t="shared" si="1"/>
        <v>15769.331645733042</v>
      </c>
      <c r="C23" s="16">
        <f t="shared" si="2"/>
        <v>377.42467288021874</v>
      </c>
      <c r="D23" s="16">
        <f t="shared" si="3"/>
        <v>311.71912435633106</v>
      </c>
      <c r="E23" s="16">
        <f t="shared" si="4"/>
        <v>65.705548523887671</v>
      </c>
      <c r="F23" s="16">
        <f t="shared" si="5"/>
        <v>15457.612521376712</v>
      </c>
    </row>
    <row r="24" spans="1:6" x14ac:dyDescent="0.25">
      <c r="A24" s="15">
        <f t="shared" si="0"/>
        <v>16</v>
      </c>
      <c r="B24" s="16">
        <f t="shared" si="1"/>
        <v>15457.612521376712</v>
      </c>
      <c r="C24" s="16">
        <f t="shared" si="2"/>
        <v>377.42467288021874</v>
      </c>
      <c r="D24" s="16">
        <f t="shared" si="3"/>
        <v>313.0179540411491</v>
      </c>
      <c r="E24" s="16">
        <f t="shared" si="4"/>
        <v>64.406718839069626</v>
      </c>
      <c r="F24" s="16">
        <f t="shared" si="5"/>
        <v>15144.594567335564</v>
      </c>
    </row>
    <row r="25" spans="1:6" x14ac:dyDescent="0.25">
      <c r="A25" s="15">
        <f t="shared" si="0"/>
        <v>17</v>
      </c>
      <c r="B25" s="16">
        <f t="shared" si="1"/>
        <v>15144.594567335564</v>
      </c>
      <c r="C25" s="16">
        <f t="shared" si="2"/>
        <v>377.42467288021874</v>
      </c>
      <c r="D25" s="16">
        <f t="shared" si="3"/>
        <v>314.32219551632056</v>
      </c>
      <c r="E25" s="16">
        <f t="shared" si="4"/>
        <v>63.102477363898181</v>
      </c>
      <c r="F25" s="16">
        <f t="shared" si="5"/>
        <v>14830.272371819243</v>
      </c>
    </row>
    <row r="26" spans="1:6" x14ac:dyDescent="0.25">
      <c r="A26" s="15">
        <f t="shared" si="0"/>
        <v>18</v>
      </c>
      <c r="B26" s="16">
        <f t="shared" si="1"/>
        <v>14830.272371819243</v>
      </c>
      <c r="C26" s="16">
        <f t="shared" si="2"/>
        <v>377.42467288021874</v>
      </c>
      <c r="D26" s="16">
        <f t="shared" si="3"/>
        <v>315.63187133097188</v>
      </c>
      <c r="E26" s="16">
        <f t="shared" si="4"/>
        <v>61.792801549246846</v>
      </c>
      <c r="F26" s="16">
        <f t="shared" si="5"/>
        <v>14514.640500488271</v>
      </c>
    </row>
    <row r="27" spans="1:6" x14ac:dyDescent="0.25">
      <c r="A27" s="15">
        <f t="shared" si="0"/>
        <v>19</v>
      </c>
      <c r="B27" s="16">
        <f t="shared" si="1"/>
        <v>14514.640500488271</v>
      </c>
      <c r="C27" s="16">
        <f t="shared" si="2"/>
        <v>377.42467288021874</v>
      </c>
      <c r="D27" s="16">
        <f t="shared" si="3"/>
        <v>316.94700412818429</v>
      </c>
      <c r="E27" s="16">
        <f t="shared" si="4"/>
        <v>60.477668752034461</v>
      </c>
      <c r="F27" s="16">
        <f t="shared" si="5"/>
        <v>14197.693496360087</v>
      </c>
    </row>
    <row r="28" spans="1:6" x14ac:dyDescent="0.25">
      <c r="A28" s="15">
        <f t="shared" si="0"/>
        <v>20</v>
      </c>
      <c r="B28" s="16">
        <f t="shared" si="1"/>
        <v>14197.693496360087</v>
      </c>
      <c r="C28" s="16">
        <f t="shared" si="2"/>
        <v>377.42467288021874</v>
      </c>
      <c r="D28" s="16">
        <f t="shared" si="3"/>
        <v>318.26761664538503</v>
      </c>
      <c r="E28" s="16">
        <f t="shared" si="4"/>
        <v>59.157056234833696</v>
      </c>
      <c r="F28" s="16">
        <f t="shared" si="5"/>
        <v>13879.425879714701</v>
      </c>
    </row>
    <row r="29" spans="1:6" x14ac:dyDescent="0.25">
      <c r="A29" s="15">
        <f t="shared" si="0"/>
        <v>21</v>
      </c>
      <c r="B29" s="16">
        <f t="shared" si="1"/>
        <v>13879.425879714701</v>
      </c>
      <c r="C29" s="16">
        <f t="shared" si="2"/>
        <v>377.42467288021874</v>
      </c>
      <c r="D29" s="16">
        <f t="shared" si="3"/>
        <v>319.59373171474078</v>
      </c>
      <c r="E29" s="16">
        <f t="shared" si="4"/>
        <v>57.830941165477924</v>
      </c>
      <c r="F29" s="16">
        <f t="shared" si="5"/>
        <v>13559.832147999961</v>
      </c>
    </row>
    <row r="30" spans="1:6" x14ac:dyDescent="0.25">
      <c r="A30" s="15">
        <f t="shared" si="0"/>
        <v>22</v>
      </c>
      <c r="B30" s="16">
        <f t="shared" si="1"/>
        <v>13559.832147999961</v>
      </c>
      <c r="C30" s="16">
        <f t="shared" si="2"/>
        <v>377.42467288021874</v>
      </c>
      <c r="D30" s="16">
        <f t="shared" si="3"/>
        <v>320.92537226355222</v>
      </c>
      <c r="E30" s="16">
        <f t="shared" si="4"/>
        <v>56.499300616666503</v>
      </c>
      <c r="F30" s="16">
        <f t="shared" si="5"/>
        <v>13238.906775736408</v>
      </c>
    </row>
    <row r="31" spans="1:6" x14ac:dyDescent="0.25">
      <c r="A31" s="15">
        <f t="shared" si="0"/>
        <v>23</v>
      </c>
      <c r="B31" s="16">
        <f t="shared" si="1"/>
        <v>13238.906775736408</v>
      </c>
      <c r="C31" s="16">
        <f t="shared" si="2"/>
        <v>377.42467288021874</v>
      </c>
      <c r="D31" s="16">
        <f t="shared" si="3"/>
        <v>322.26256131465038</v>
      </c>
      <c r="E31" s="16">
        <f t="shared" si="4"/>
        <v>55.162111565568367</v>
      </c>
      <c r="F31" s="16">
        <f t="shared" si="5"/>
        <v>12916.644214421758</v>
      </c>
    </row>
    <row r="32" spans="1:6" x14ac:dyDescent="0.25">
      <c r="A32" s="15">
        <f t="shared" si="0"/>
        <v>24</v>
      </c>
      <c r="B32" s="16">
        <f t="shared" si="1"/>
        <v>12916.644214421758</v>
      </c>
      <c r="C32" s="16">
        <f t="shared" si="2"/>
        <v>377.42467288021874</v>
      </c>
      <c r="D32" s="16">
        <f t="shared" si="3"/>
        <v>323.60532198679476</v>
      </c>
      <c r="E32" s="16">
        <f t="shared" si="4"/>
        <v>53.819350893423994</v>
      </c>
      <c r="F32" s="16">
        <f t="shared" si="5"/>
        <v>12593.038892434963</v>
      </c>
    </row>
    <row r="33" spans="1:6" x14ac:dyDescent="0.25">
      <c r="A33" s="15">
        <f t="shared" si="0"/>
        <v>25</v>
      </c>
      <c r="B33" s="16">
        <f t="shared" si="1"/>
        <v>12593.038892434963</v>
      </c>
      <c r="C33" s="16">
        <f t="shared" si="2"/>
        <v>377.42467288021874</v>
      </c>
      <c r="D33" s="16">
        <f t="shared" si="3"/>
        <v>324.95367749507307</v>
      </c>
      <c r="E33" s="16">
        <f t="shared" si="4"/>
        <v>52.470995385145677</v>
      </c>
      <c r="F33" s="16">
        <f t="shared" si="5"/>
        <v>12268.085214939889</v>
      </c>
    </row>
    <row r="34" spans="1:6" x14ac:dyDescent="0.25">
      <c r="A34" s="15">
        <f t="shared" si="0"/>
        <v>26</v>
      </c>
      <c r="B34" s="16">
        <f t="shared" si="1"/>
        <v>12268.085214939889</v>
      </c>
      <c r="C34" s="16">
        <f t="shared" si="2"/>
        <v>377.42467288021874</v>
      </c>
      <c r="D34" s="16">
        <f t="shared" si="3"/>
        <v>326.30765115130254</v>
      </c>
      <c r="E34" s="16">
        <f t="shared" si="4"/>
        <v>51.1170217289162</v>
      </c>
      <c r="F34" s="16">
        <f t="shared" si="5"/>
        <v>11941.777563788586</v>
      </c>
    </row>
    <row r="35" spans="1:6" x14ac:dyDescent="0.25">
      <c r="A35" s="15">
        <f t="shared" si="0"/>
        <v>27</v>
      </c>
      <c r="B35" s="16">
        <f t="shared" si="1"/>
        <v>11941.777563788586</v>
      </c>
      <c r="C35" s="16">
        <f t="shared" si="2"/>
        <v>377.42467288021874</v>
      </c>
      <c r="D35" s="16">
        <f t="shared" si="3"/>
        <v>327.66726636443298</v>
      </c>
      <c r="E35" s="16">
        <f t="shared" si="4"/>
        <v>49.757406515785775</v>
      </c>
      <c r="F35" s="16">
        <f t="shared" si="5"/>
        <v>11614.110297424153</v>
      </c>
    </row>
    <row r="36" spans="1:6" x14ac:dyDescent="0.25">
      <c r="A36" s="15">
        <f t="shared" si="0"/>
        <v>28</v>
      </c>
      <c r="B36" s="16">
        <f t="shared" si="1"/>
        <v>11614.110297424153</v>
      </c>
      <c r="C36" s="16">
        <f t="shared" si="2"/>
        <v>377.42467288021874</v>
      </c>
      <c r="D36" s="16">
        <f t="shared" si="3"/>
        <v>329.03254664095141</v>
      </c>
      <c r="E36" s="16">
        <f t="shared" si="4"/>
        <v>48.392126239267306</v>
      </c>
      <c r="F36" s="16">
        <f t="shared" si="5"/>
        <v>11285.077750783201</v>
      </c>
    </row>
    <row r="37" spans="1:6" x14ac:dyDescent="0.25">
      <c r="A37" s="15">
        <f t="shared" si="0"/>
        <v>29</v>
      </c>
      <c r="B37" s="16">
        <f t="shared" si="1"/>
        <v>11285.077750783201</v>
      </c>
      <c r="C37" s="16">
        <f t="shared" si="2"/>
        <v>377.42467288021874</v>
      </c>
      <c r="D37" s="16">
        <f t="shared" si="3"/>
        <v>330.40351558528874</v>
      </c>
      <c r="E37" s="16">
        <f t="shared" si="4"/>
        <v>47.021157294930006</v>
      </c>
      <c r="F37" s="16">
        <f t="shared" si="5"/>
        <v>10954.674235197912</v>
      </c>
    </row>
    <row r="38" spans="1:6" x14ac:dyDescent="0.25">
      <c r="A38" s="15">
        <f t="shared" si="0"/>
        <v>30</v>
      </c>
      <c r="B38" s="16">
        <f t="shared" si="1"/>
        <v>10954.674235197912</v>
      </c>
      <c r="C38" s="16">
        <f t="shared" si="2"/>
        <v>377.42467288021874</v>
      </c>
      <c r="D38" s="16">
        <f t="shared" si="3"/>
        <v>331.78019690022745</v>
      </c>
      <c r="E38" s="16">
        <f t="shared" si="4"/>
        <v>45.644475979991299</v>
      </c>
      <c r="F38" s="16">
        <f t="shared" si="5"/>
        <v>10622.894038297685</v>
      </c>
    </row>
    <row r="39" spans="1:6" x14ac:dyDescent="0.25">
      <c r="A39" s="15">
        <f t="shared" si="0"/>
        <v>31</v>
      </c>
      <c r="B39" s="16">
        <f t="shared" si="1"/>
        <v>10622.894038297685</v>
      </c>
      <c r="C39" s="16">
        <f t="shared" si="2"/>
        <v>377.42467288021874</v>
      </c>
      <c r="D39" s="16">
        <f t="shared" si="3"/>
        <v>333.16261438731169</v>
      </c>
      <c r="E39" s="16">
        <f t="shared" si="4"/>
        <v>44.262058492907023</v>
      </c>
      <c r="F39" s="16">
        <f t="shared" si="5"/>
        <v>10289.731423910374</v>
      </c>
    </row>
    <row r="40" spans="1:6" x14ac:dyDescent="0.25">
      <c r="A40" s="15">
        <f t="shared" si="0"/>
        <v>32</v>
      </c>
      <c r="B40" s="16">
        <f t="shared" si="1"/>
        <v>10289.731423910374</v>
      </c>
      <c r="C40" s="16">
        <f t="shared" si="2"/>
        <v>377.42467288021874</v>
      </c>
      <c r="D40" s="16">
        <f t="shared" si="3"/>
        <v>334.55079194725886</v>
      </c>
      <c r="E40" s="16">
        <f t="shared" si="4"/>
        <v>42.873880932959892</v>
      </c>
      <c r="F40" s="16">
        <f t="shared" si="5"/>
        <v>9955.180631963116</v>
      </c>
    </row>
    <row r="41" spans="1:6" x14ac:dyDescent="0.25">
      <c r="A41" s="15">
        <f t="shared" si="0"/>
        <v>33</v>
      </c>
      <c r="B41" s="16">
        <f t="shared" si="1"/>
        <v>9955.180631963116</v>
      </c>
      <c r="C41" s="16">
        <f t="shared" si="2"/>
        <v>377.42467288021874</v>
      </c>
      <c r="D41" s="16">
        <f t="shared" si="3"/>
        <v>335.94475358037243</v>
      </c>
      <c r="E41" s="16">
        <f t="shared" si="4"/>
        <v>41.479919299846316</v>
      </c>
      <c r="F41" s="16">
        <f t="shared" si="5"/>
        <v>9619.235878382744</v>
      </c>
    </row>
    <row r="42" spans="1:6" x14ac:dyDescent="0.25">
      <c r="A42" s="15">
        <f t="shared" si="0"/>
        <v>34</v>
      </c>
      <c r="B42" s="16">
        <f t="shared" si="1"/>
        <v>9619.235878382744</v>
      </c>
      <c r="C42" s="16">
        <f t="shared" si="2"/>
        <v>377.42467288021874</v>
      </c>
      <c r="D42" s="16">
        <f t="shared" si="3"/>
        <v>337.34452338695729</v>
      </c>
      <c r="E42" s="16">
        <f t="shared" si="4"/>
        <v>40.08014949326143</v>
      </c>
      <c r="F42" s="16">
        <f t="shared" si="5"/>
        <v>9281.891354995787</v>
      </c>
    </row>
    <row r="43" spans="1:6" x14ac:dyDescent="0.25">
      <c r="A43" s="15">
        <f t="shared" si="0"/>
        <v>35</v>
      </c>
      <c r="B43" s="16">
        <f t="shared" si="1"/>
        <v>9281.891354995787</v>
      </c>
      <c r="C43" s="16">
        <f t="shared" si="2"/>
        <v>377.42467288021874</v>
      </c>
      <c r="D43" s="16">
        <f t="shared" si="3"/>
        <v>338.75012556773629</v>
      </c>
      <c r="E43" s="16">
        <f t="shared" si="4"/>
        <v>38.674547312482446</v>
      </c>
      <c r="F43" s="16">
        <f t="shared" si="5"/>
        <v>8943.1412294280508</v>
      </c>
    </row>
    <row r="44" spans="1:6" x14ac:dyDescent="0.25">
      <c r="A44" s="15">
        <f t="shared" si="0"/>
        <v>36</v>
      </c>
      <c r="B44" s="16">
        <f t="shared" si="1"/>
        <v>8943.1412294280508</v>
      </c>
      <c r="C44" s="16">
        <f t="shared" si="2"/>
        <v>377.42467288021874</v>
      </c>
      <c r="D44" s="16">
        <f t="shared" si="3"/>
        <v>340.16158442426854</v>
      </c>
      <c r="E44" s="16">
        <f t="shared" si="4"/>
        <v>37.263088455950211</v>
      </c>
      <c r="F44" s="16">
        <f t="shared" si="5"/>
        <v>8602.9796450037829</v>
      </c>
    </row>
    <row r="45" spans="1:6" x14ac:dyDescent="0.25">
      <c r="A45" s="15">
        <f t="shared" si="0"/>
        <v>37</v>
      </c>
      <c r="B45" s="16">
        <f t="shared" si="1"/>
        <v>8602.9796450037829</v>
      </c>
      <c r="C45" s="16">
        <f t="shared" si="2"/>
        <v>377.42467288021874</v>
      </c>
      <c r="D45" s="16">
        <f t="shared" si="3"/>
        <v>341.57892435936964</v>
      </c>
      <c r="E45" s="16">
        <f t="shared" si="4"/>
        <v>35.845748520849092</v>
      </c>
      <c r="F45" s="16">
        <f t="shared" si="5"/>
        <v>8261.400720644413</v>
      </c>
    </row>
    <row r="46" spans="1:6" x14ac:dyDescent="0.25">
      <c r="A46" s="15">
        <f t="shared" si="0"/>
        <v>38</v>
      </c>
      <c r="B46" s="16">
        <f t="shared" si="1"/>
        <v>8261.400720644413</v>
      </c>
      <c r="C46" s="16">
        <f t="shared" si="2"/>
        <v>377.42467288021874</v>
      </c>
      <c r="D46" s="16">
        <f t="shared" si="3"/>
        <v>343.00216987753367</v>
      </c>
      <c r="E46" s="16">
        <f t="shared" si="4"/>
        <v>34.422503002685055</v>
      </c>
      <c r="F46" s="16">
        <f t="shared" si="5"/>
        <v>7918.3985507668795</v>
      </c>
    </row>
    <row r="47" spans="1:6" x14ac:dyDescent="0.25">
      <c r="A47" s="15">
        <f t="shared" si="0"/>
        <v>39</v>
      </c>
      <c r="B47" s="16">
        <f t="shared" si="1"/>
        <v>7918.3985507668795</v>
      </c>
      <c r="C47" s="16">
        <f t="shared" si="2"/>
        <v>377.42467288021874</v>
      </c>
      <c r="D47" s="16">
        <f t="shared" si="3"/>
        <v>344.43134558535672</v>
      </c>
      <c r="E47" s="16">
        <f t="shared" si="4"/>
        <v>32.993327294861999</v>
      </c>
      <c r="F47" s="16">
        <f t="shared" si="5"/>
        <v>7573.9672051815223</v>
      </c>
    </row>
    <row r="48" spans="1:6" x14ac:dyDescent="0.25">
      <c r="A48" s="15">
        <f t="shared" si="0"/>
        <v>40</v>
      </c>
      <c r="B48" s="16">
        <f t="shared" si="1"/>
        <v>7573.9672051815223</v>
      </c>
      <c r="C48" s="16">
        <f t="shared" si="2"/>
        <v>377.42467288021874</v>
      </c>
      <c r="D48" s="16">
        <f t="shared" si="3"/>
        <v>345.86647619196242</v>
      </c>
      <c r="E48" s="16">
        <f t="shared" si="4"/>
        <v>31.558196688256341</v>
      </c>
      <c r="F48" s="16">
        <f t="shared" si="5"/>
        <v>7228.1007289895597</v>
      </c>
    </row>
    <row r="49" spans="1:6" x14ac:dyDescent="0.25">
      <c r="A49" s="15">
        <f t="shared" si="0"/>
        <v>41</v>
      </c>
      <c r="B49" s="16">
        <f t="shared" si="1"/>
        <v>7228.1007289895597</v>
      </c>
      <c r="C49" s="16">
        <f t="shared" si="2"/>
        <v>377.42467288021874</v>
      </c>
      <c r="D49" s="16">
        <f t="shared" si="3"/>
        <v>347.30758650942892</v>
      </c>
      <c r="E49" s="16">
        <f t="shared" si="4"/>
        <v>30.117086370789831</v>
      </c>
      <c r="F49" s="16">
        <f t="shared" si="5"/>
        <v>6880.7931424801309</v>
      </c>
    </row>
    <row r="50" spans="1:6" x14ac:dyDescent="0.25">
      <c r="A50" s="15">
        <f t="shared" si="0"/>
        <v>42</v>
      </c>
      <c r="B50" s="16">
        <f t="shared" si="1"/>
        <v>6880.7931424801309</v>
      </c>
      <c r="C50" s="16">
        <f t="shared" si="2"/>
        <v>377.42467288021874</v>
      </c>
      <c r="D50" s="16">
        <f t="shared" si="3"/>
        <v>348.75470145321822</v>
      </c>
      <c r="E50" s="16">
        <f t="shared" si="4"/>
        <v>28.669971427000544</v>
      </c>
      <c r="F50" s="16">
        <f t="shared" si="5"/>
        <v>6532.0384410269126</v>
      </c>
    </row>
    <row r="51" spans="1:6" x14ac:dyDescent="0.25">
      <c r="A51" s="15">
        <f t="shared" si="0"/>
        <v>43</v>
      </c>
      <c r="B51" s="16">
        <f t="shared" si="1"/>
        <v>6532.0384410269126</v>
      </c>
      <c r="C51" s="16">
        <f t="shared" si="2"/>
        <v>377.42467288021874</v>
      </c>
      <c r="D51" s="16">
        <f t="shared" si="3"/>
        <v>350.2078460426066</v>
      </c>
      <c r="E51" s="16">
        <f t="shared" si="4"/>
        <v>27.216826837612135</v>
      </c>
      <c r="F51" s="16">
        <f t="shared" si="5"/>
        <v>6181.8305949843061</v>
      </c>
    </row>
    <row r="52" spans="1:6" x14ac:dyDescent="0.25">
      <c r="A52" s="15">
        <f t="shared" si="0"/>
        <v>44</v>
      </c>
      <c r="B52" s="16">
        <f t="shared" si="1"/>
        <v>6181.8305949843061</v>
      </c>
      <c r="C52" s="16">
        <f t="shared" si="2"/>
        <v>377.42467288021874</v>
      </c>
      <c r="D52" s="16">
        <f t="shared" si="3"/>
        <v>351.66704540111743</v>
      </c>
      <c r="E52" s="16">
        <f t="shared" si="4"/>
        <v>25.757627479101274</v>
      </c>
      <c r="F52" s="16">
        <f t="shared" si="5"/>
        <v>5830.1635495831888</v>
      </c>
    </row>
    <row r="53" spans="1:6" x14ac:dyDescent="0.25">
      <c r="A53" s="15">
        <f t="shared" si="0"/>
        <v>45</v>
      </c>
      <c r="B53" s="16">
        <f t="shared" si="1"/>
        <v>5830.1635495831888</v>
      </c>
      <c r="C53" s="16">
        <f t="shared" si="2"/>
        <v>377.42467288021874</v>
      </c>
      <c r="D53" s="16">
        <f t="shared" si="3"/>
        <v>353.13232475695543</v>
      </c>
      <c r="E53" s="16">
        <f t="shared" si="4"/>
        <v>24.292348123263288</v>
      </c>
      <c r="F53" s="16">
        <f t="shared" si="5"/>
        <v>5477.0312248262335</v>
      </c>
    </row>
    <row r="54" spans="1:6" x14ac:dyDescent="0.25">
      <c r="A54" s="15">
        <f t="shared" si="0"/>
        <v>46</v>
      </c>
      <c r="B54" s="16">
        <f t="shared" si="1"/>
        <v>5477.0312248262335</v>
      </c>
      <c r="C54" s="16">
        <f t="shared" si="2"/>
        <v>377.42467288021874</v>
      </c>
      <c r="D54" s="16">
        <f t="shared" si="3"/>
        <v>354.60370944344277</v>
      </c>
      <c r="E54" s="16">
        <f t="shared" si="4"/>
        <v>22.820963436775973</v>
      </c>
      <c r="F54" s="16">
        <f t="shared" si="5"/>
        <v>5122.4275153827912</v>
      </c>
    </row>
    <row r="55" spans="1:6" x14ac:dyDescent="0.25">
      <c r="A55" s="15">
        <f t="shared" si="0"/>
        <v>47</v>
      </c>
      <c r="B55" s="16">
        <f t="shared" si="1"/>
        <v>5122.4275153827912</v>
      </c>
      <c r="C55" s="16">
        <f t="shared" si="2"/>
        <v>377.42467288021874</v>
      </c>
      <c r="D55" s="16">
        <f t="shared" si="3"/>
        <v>356.08122489945708</v>
      </c>
      <c r="E55" s="16">
        <f t="shared" si="4"/>
        <v>21.343447980761631</v>
      </c>
      <c r="F55" s="16">
        <f t="shared" si="5"/>
        <v>4766.3462904833341</v>
      </c>
    </row>
    <row r="56" spans="1:6" x14ac:dyDescent="0.25">
      <c r="A56" s="15">
        <f t="shared" si="0"/>
        <v>48</v>
      </c>
      <c r="B56" s="16">
        <f t="shared" si="1"/>
        <v>4766.3462904833341</v>
      </c>
      <c r="C56" s="16">
        <f t="shared" si="2"/>
        <v>377.42467288021874</v>
      </c>
      <c r="D56" s="16">
        <f t="shared" si="3"/>
        <v>357.56489666987153</v>
      </c>
      <c r="E56" s="16">
        <f t="shared" si="4"/>
        <v>19.859776210347224</v>
      </c>
      <c r="F56" s="16">
        <f t="shared" si="5"/>
        <v>4408.7813938134623</v>
      </c>
    </row>
    <row r="57" spans="1:6" x14ac:dyDescent="0.25">
      <c r="A57" s="15">
        <f t="shared" si="0"/>
        <v>49</v>
      </c>
      <c r="B57" s="16">
        <f t="shared" si="1"/>
        <v>4408.7813938134623</v>
      </c>
      <c r="C57" s="16">
        <f t="shared" si="2"/>
        <v>377.42467288021874</v>
      </c>
      <c r="D57" s="16">
        <f t="shared" si="3"/>
        <v>359.054750405996</v>
      </c>
      <c r="E57" s="16">
        <f t="shared" si="4"/>
        <v>18.369922474222758</v>
      </c>
      <c r="F57" s="16">
        <f t="shared" si="5"/>
        <v>4049.7266434074663</v>
      </c>
    </row>
    <row r="58" spans="1:6" x14ac:dyDescent="0.25">
      <c r="A58" s="15">
        <f t="shared" si="0"/>
        <v>50</v>
      </c>
      <c r="B58" s="16">
        <f t="shared" si="1"/>
        <v>4049.7266434074663</v>
      </c>
      <c r="C58" s="16">
        <f t="shared" si="2"/>
        <v>377.42467288021874</v>
      </c>
      <c r="D58" s="16">
        <f t="shared" si="3"/>
        <v>360.55081186602098</v>
      </c>
      <c r="E58" s="16">
        <f t="shared" si="4"/>
        <v>16.873861014197775</v>
      </c>
      <c r="F58" s="16">
        <f t="shared" si="5"/>
        <v>3689.1758315414454</v>
      </c>
    </row>
    <row r="59" spans="1:6" x14ac:dyDescent="0.25">
      <c r="A59" s="15">
        <f t="shared" si="0"/>
        <v>51</v>
      </c>
      <c r="B59" s="16">
        <f t="shared" si="1"/>
        <v>3689.1758315414454</v>
      </c>
      <c r="C59" s="16">
        <f t="shared" si="2"/>
        <v>377.42467288021874</v>
      </c>
      <c r="D59" s="16">
        <f t="shared" si="3"/>
        <v>362.05310691546271</v>
      </c>
      <c r="E59" s="16">
        <f t="shared" si="4"/>
        <v>15.371565964756023</v>
      </c>
      <c r="F59" s="16">
        <f t="shared" si="5"/>
        <v>3327.1227246259828</v>
      </c>
    </row>
    <row r="60" spans="1:6" x14ac:dyDescent="0.25">
      <c r="A60" s="15">
        <f t="shared" si="0"/>
        <v>52</v>
      </c>
      <c r="B60" s="16">
        <f t="shared" si="1"/>
        <v>3327.1227246259828</v>
      </c>
      <c r="C60" s="16">
        <f t="shared" si="2"/>
        <v>377.42467288021874</v>
      </c>
      <c r="D60" s="16">
        <f t="shared" si="3"/>
        <v>363.56166152761045</v>
      </c>
      <c r="E60" s="16">
        <f t="shared" si="4"/>
        <v>13.863011352608261</v>
      </c>
      <c r="F60" s="16">
        <f t="shared" si="5"/>
        <v>2963.5610630983724</v>
      </c>
    </row>
    <row r="61" spans="1:6" x14ac:dyDescent="0.25">
      <c r="A61" s="15">
        <f t="shared" si="0"/>
        <v>53</v>
      </c>
      <c r="B61" s="16">
        <f t="shared" si="1"/>
        <v>2963.5610630983724</v>
      </c>
      <c r="C61" s="16">
        <f t="shared" si="2"/>
        <v>377.42467288021874</v>
      </c>
      <c r="D61" s="16">
        <f t="shared" si="3"/>
        <v>365.07650178397552</v>
      </c>
      <c r="E61" s="16">
        <f t="shared" si="4"/>
        <v>12.348171096243219</v>
      </c>
      <c r="F61" s="16">
        <f t="shared" si="5"/>
        <v>2598.4845613143971</v>
      </c>
    </row>
    <row r="62" spans="1:6" x14ac:dyDescent="0.25">
      <c r="A62" s="15">
        <f t="shared" si="0"/>
        <v>54</v>
      </c>
      <c r="B62" s="16">
        <f t="shared" si="1"/>
        <v>2598.4845613143971</v>
      </c>
      <c r="C62" s="16">
        <f t="shared" si="2"/>
        <v>377.42467288021874</v>
      </c>
      <c r="D62" s="16">
        <f t="shared" si="3"/>
        <v>366.59765387474209</v>
      </c>
      <c r="E62" s="16">
        <f t="shared" si="4"/>
        <v>10.827019005476654</v>
      </c>
      <c r="F62" s="16">
        <f t="shared" si="5"/>
        <v>2231.8869074396548</v>
      </c>
    </row>
    <row r="63" spans="1:6" x14ac:dyDescent="0.25">
      <c r="A63" s="15">
        <f t="shared" si="0"/>
        <v>55</v>
      </c>
      <c r="B63" s="16">
        <f t="shared" si="1"/>
        <v>2231.8869074396548</v>
      </c>
      <c r="C63" s="16">
        <f t="shared" si="2"/>
        <v>377.42467288021874</v>
      </c>
      <c r="D63" s="16">
        <f t="shared" si="3"/>
        <v>368.12514409922017</v>
      </c>
      <c r="E63" s="16">
        <f t="shared" si="4"/>
        <v>9.2995287809985623</v>
      </c>
      <c r="F63" s="16">
        <f t="shared" si="5"/>
        <v>1863.7617633404348</v>
      </c>
    </row>
    <row r="64" spans="1:6" x14ac:dyDescent="0.25">
      <c r="A64" s="15">
        <f t="shared" si="0"/>
        <v>56</v>
      </c>
      <c r="B64" s="16">
        <f t="shared" si="1"/>
        <v>1863.7617633404348</v>
      </c>
      <c r="C64" s="16">
        <f t="shared" si="2"/>
        <v>377.42467288021874</v>
      </c>
      <c r="D64" s="16">
        <f t="shared" si="3"/>
        <v>369.65899886630024</v>
      </c>
      <c r="E64" s="16">
        <f t="shared" si="4"/>
        <v>7.7656740139184777</v>
      </c>
      <c r="F64" s="16">
        <f t="shared" si="5"/>
        <v>1494.1027644741346</v>
      </c>
    </row>
    <row r="65" spans="1:6" x14ac:dyDescent="0.25">
      <c r="A65" s="15">
        <f t="shared" si="0"/>
        <v>57</v>
      </c>
      <c r="B65" s="16">
        <f t="shared" si="1"/>
        <v>1494.1027644741346</v>
      </c>
      <c r="C65" s="16">
        <f t="shared" si="2"/>
        <v>377.42467288021874</v>
      </c>
      <c r="D65" s="16">
        <f t="shared" si="3"/>
        <v>371.19924469490985</v>
      </c>
      <c r="E65" s="16">
        <f t="shared" si="4"/>
        <v>6.2254281853088944</v>
      </c>
      <c r="F65" s="16">
        <f t="shared" si="5"/>
        <v>1122.9035197792248</v>
      </c>
    </row>
    <row r="66" spans="1:6" x14ac:dyDescent="0.25">
      <c r="A66" s="15">
        <f t="shared" si="0"/>
        <v>58</v>
      </c>
      <c r="B66" s="16">
        <f t="shared" si="1"/>
        <v>1122.9035197792248</v>
      </c>
      <c r="C66" s="16">
        <f t="shared" si="2"/>
        <v>377.42467288021874</v>
      </c>
      <c r="D66" s="16">
        <f t="shared" si="3"/>
        <v>372.74590821447197</v>
      </c>
      <c r="E66" s="16">
        <f t="shared" si="4"/>
        <v>4.6787646657467699</v>
      </c>
      <c r="F66" s="16">
        <f t="shared" si="5"/>
        <v>750.15761156475287</v>
      </c>
    </row>
    <row r="67" spans="1:6" x14ac:dyDescent="0.25">
      <c r="A67" s="15">
        <f t="shared" si="0"/>
        <v>59</v>
      </c>
      <c r="B67" s="16">
        <f t="shared" si="1"/>
        <v>750.15761156475287</v>
      </c>
      <c r="C67" s="16">
        <f t="shared" si="2"/>
        <v>377.42467288021874</v>
      </c>
      <c r="D67" s="16">
        <f t="shared" si="3"/>
        <v>374.29901616536557</v>
      </c>
      <c r="E67" s="16">
        <f t="shared" si="4"/>
        <v>3.1256567148531369</v>
      </c>
      <c r="F67" s="16">
        <f t="shared" si="5"/>
        <v>375.8585953993873</v>
      </c>
    </row>
    <row r="68" spans="1:6" x14ac:dyDescent="0.25">
      <c r="A68" s="15">
        <f t="shared" si="0"/>
        <v>60</v>
      </c>
      <c r="B68" s="16">
        <f t="shared" si="1"/>
        <v>375.8585953993873</v>
      </c>
      <c r="C68" s="16">
        <f t="shared" si="2"/>
        <v>377.42467288021874</v>
      </c>
      <c r="D68" s="16">
        <f t="shared" si="3"/>
        <v>375.85859539938798</v>
      </c>
      <c r="E68" s="16">
        <f t="shared" si="4"/>
        <v>1.5660774808307805</v>
      </c>
      <c r="F68" s="16">
        <f t="shared" si="5"/>
        <v>-6.8212102632969618E-13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Amortization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 M Nguyen</dc:creator>
  <cp:lastModifiedBy>Triet M Nguyen</cp:lastModifiedBy>
  <dcterms:created xsi:type="dcterms:W3CDTF">2026-04-26T02:00:22Z</dcterms:created>
  <dcterms:modified xsi:type="dcterms:W3CDTF">2026-04-26T04:07:24Z</dcterms:modified>
</cp:coreProperties>
</file>